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tmohammed\workspace\document-hub\docs\project-management\"/>
    </mc:Choice>
  </mc:AlternateContent>
  <xr:revisionPtr revIDLastSave="0" documentId="13_ncr:1_{CD99BBB2-0F97-49DC-96C4-2ED6742BA0A8}" xr6:coauthVersionLast="47" xr6:coauthVersionMax="47" xr10:uidLastSave="{00000000-0000-0000-0000-000000000000}"/>
  <bookViews>
    <workbookView xWindow="-28920" yWindow="-60" windowWidth="29040" windowHeight="15720" activeTab="4" xr2:uid="{00000000-000D-0000-FFFF-FFFF00000000}"/>
  </bookViews>
  <sheets>
    <sheet name="INSTRUCTIONS" sheetId="1" r:id="rId1"/>
    <sheet name="DOCUMENT_LIST" sheetId="2" r:id="rId2"/>
    <sheet name="DOCUMENT_DETAILS" sheetId="3" r:id="rId3"/>
    <sheet name="ELIGIBILITY_CONDITIONS" sheetId="4" r:id="rId4"/>
    <sheet name="DATA_SOURCES" sheetId="5" r:id="rId5"/>
    <sheet name="TEST_SCENARIOS" sheetId="6" r:id="rId6"/>
    <sheet name="LOOKUP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C2" i="4"/>
  <c r="X2" i="3"/>
  <c r="O2" i="3"/>
  <c r="B2" i="3"/>
</calcChain>
</file>

<file path=xl/sharedStrings.xml><?xml version="1.0" encoding="utf-8"?>
<sst xmlns="http://schemas.openxmlformats.org/spreadsheetml/2006/main" count="223" uniqueCount="205">
  <si>
    <t>SHARED DOCUMENT ELIGIBILITY CATALOG</t>
  </si>
  <si>
    <t>How to Use This Workbook</t>
  </si>
  <si>
    <t>STEP 1: Add all shared documents to DOCUMENT_LIST sheet</t>
  </si>
  <si>
    <t xml:space="preserve">  - List each shared document type (Privacy Policy, Cardholder Agreement, etc.)</t>
  </si>
  <si>
    <t xml:space="preserve">  - Assign a unique Document ID (e.g., DOC-001, DOC-002)</t>
  </si>
  <si>
    <t xml:space="preserve">  - Mark priority (High/Medium/Low)</t>
  </si>
  <si>
    <t>STEP 2: Complete DOCUMENT_DETAILS for each document</t>
  </si>
  <si>
    <t xml:space="preserve">  - Fill in metadata, business context, ownership</t>
  </si>
  <si>
    <t xml:space="preserve">  - Select sharing scope from dropdown</t>
  </si>
  <si>
    <t xml:space="preserve">  - Use dropdowns wherever possible</t>
  </si>
  <si>
    <t>STEP 3: Define eligibility conditions in ELIGIBILITY_CONDITIONS</t>
  </si>
  <si>
    <t xml:space="preserve">  - For custom rules only</t>
  </si>
  <si>
    <t xml:space="preserve">  - One row per condition</t>
  </si>
  <si>
    <t xml:space="preserve">  - Link to Document ID</t>
  </si>
  <si>
    <t xml:space="preserve">  - Select operator from dropdown</t>
  </si>
  <si>
    <t>STEP 4: Map data sources in DATA_SOURCES</t>
  </si>
  <si>
    <t xml:space="preserve">  - Identify which APIs are needed</t>
  </si>
  <si>
    <t xml:space="preserve">  - Specify endpoint and response fields</t>
  </si>
  <si>
    <t xml:space="preserve">  - Note cache requirements</t>
  </si>
  <si>
    <t>STEP 5: Create test scenarios in TEST_SCENARIOS</t>
  </si>
  <si>
    <t xml:space="preserve">  - At least 2 scenarios per document (positive &amp; negative)</t>
  </si>
  <si>
    <t xml:space="preserve">  - Include edge cases</t>
  </si>
  <si>
    <t xml:space="preserve">  - Document expected results</t>
  </si>
  <si>
    <t>REFERENCE:</t>
  </si>
  <si>
    <t xml:space="preserve">  - See LOOKUPS sheet for dropdown values</t>
  </si>
  <si>
    <t xml:space="preserve">  - Colored cells indicate required fields</t>
  </si>
  <si>
    <t xml:space="preserve">  - Use data validation to prevent errors</t>
  </si>
  <si>
    <t xml:space="preserve">  - Export to YAML/JSON for implementation</t>
  </si>
  <si>
    <t>SUPPORT:</t>
  </si>
  <si>
    <t xml:space="preserve">  Questions? Contact: technical-team@documenthub.com</t>
  </si>
  <si>
    <t xml:space="preserve">  Documentation: docs/guides/SHARED_DOCUMENT_ELIGIBILITY_CATALOG.md</t>
  </si>
  <si>
    <t>Document ID</t>
  </si>
  <si>
    <t>Document Name</t>
  </si>
  <si>
    <t>Document Type</t>
  </si>
  <si>
    <t>Line of Business</t>
  </si>
  <si>
    <t>Sharing Scope</t>
  </si>
  <si>
    <t>Regulatory?</t>
  </si>
  <si>
    <t>Owner Department</t>
  </si>
  <si>
    <t>Status</t>
  </si>
  <si>
    <t>Priority</t>
  </si>
  <si>
    <t>Estimated Volume (%)</t>
  </si>
  <si>
    <t>SME Name</t>
  </si>
  <si>
    <t>Interview Date</t>
  </si>
  <si>
    <t>Notes</t>
  </si>
  <si>
    <t>DOC-001</t>
  </si>
  <si>
    <t>Example Document</t>
  </si>
  <si>
    <t>Category</t>
  </si>
  <si>
    <t>Subcategory</t>
  </si>
  <si>
    <t>Description</t>
  </si>
  <si>
    <t>Regulatory</t>
  </si>
  <si>
    <t>Regulation Name</t>
  </si>
  <si>
    <t>Effective Date</t>
  </si>
  <si>
    <t>Valid Until</t>
  </si>
  <si>
    <t>Owner Dept</t>
  </si>
  <si>
    <t>Contact Person</t>
  </si>
  <si>
    <t>Business Justification</t>
  </si>
  <si>
    <t>Target Audience</t>
  </si>
  <si>
    <t>Expected Volume</t>
  </si>
  <si>
    <t>Expected %</t>
  </si>
  <si>
    <t>Revenue Opportunity</t>
  </si>
  <si>
    <t>Compliance Requirement</t>
  </si>
  <si>
    <t>Audit Logging Required</t>
  </si>
  <si>
    <t>Version</t>
  </si>
  <si>
    <t>Created By</t>
  </si>
  <si>
    <t>Created Date</t>
  </si>
  <si>
    <t>Approved By</t>
  </si>
  <si>
    <t>Approved Date</t>
  </si>
  <si>
    <t>Last Modified</t>
  </si>
  <si>
    <t>Implementation Status</t>
  </si>
  <si>
    <t>Condition ID</t>
  </si>
  <si>
    <t>Condition Priority</t>
  </si>
  <si>
    <t>Condition Description</t>
  </si>
  <si>
    <t>Field Name</t>
  </si>
  <si>
    <t>Data Source</t>
  </si>
  <si>
    <t>Operator</t>
  </si>
  <si>
    <t>Value</t>
  </si>
  <si>
    <t>Value Type</t>
  </si>
  <si>
    <t>Logical Operator</t>
  </si>
  <si>
    <t>Required?</t>
  </si>
  <si>
    <t>Error Message</t>
  </si>
  <si>
    <t>Example (Pass)</t>
  </si>
  <si>
    <t>Example (Fail)</t>
  </si>
  <si>
    <t>Data Source ID</t>
  </si>
  <si>
    <t>Data Source Name</t>
  </si>
  <si>
    <t>Source Type</t>
  </si>
  <si>
    <t>API Endpoint</t>
  </si>
  <si>
    <t>HTTP Method</t>
  </si>
  <si>
    <t>Request Body</t>
  </si>
  <si>
    <t>Timeout (ms)</t>
  </si>
  <si>
    <t>Retry Attempts</t>
  </si>
  <si>
    <t>JSON Path</t>
  </si>
  <si>
    <t>Data Type</t>
  </si>
  <si>
    <t>Cache Enabled</t>
  </si>
  <si>
    <t>Cache TTL (sec)</t>
  </si>
  <si>
    <t>Response Time (ms)</t>
  </si>
  <si>
    <t>Owner Team</t>
  </si>
  <si>
    <t>API Documentation</t>
  </si>
  <si>
    <t>Scenario ID</t>
  </si>
  <si>
    <t>Scenario Type</t>
  </si>
  <si>
    <t>Scenario Name</t>
  </si>
  <si>
    <t>Test Data (JSON)</t>
  </si>
  <si>
    <t>Expected Result</t>
  </si>
  <si>
    <t>Reason</t>
  </si>
  <si>
    <t>Validation Steps</t>
  </si>
  <si>
    <t>Tested?</t>
  </si>
  <si>
    <t>Test Date</t>
  </si>
  <si>
    <t>Test Result</t>
  </si>
  <si>
    <t>Tester Name</t>
  </si>
  <si>
    <t>DOCUMENT_TYPE</t>
  </si>
  <si>
    <t>LINE_OF_BUSINESS</t>
  </si>
  <si>
    <t>SHARING_SCOPE</t>
  </si>
  <si>
    <t>YES_NO</t>
  </si>
  <si>
    <t>OWNER_DEPT</t>
  </si>
  <si>
    <t>STATUS</t>
  </si>
  <si>
    <t>PRIORITY</t>
  </si>
  <si>
    <t>OPERATOR</t>
  </si>
  <si>
    <t>VALUE_TYPE</t>
  </si>
  <si>
    <t>SCENARIO_TYPE</t>
  </si>
  <si>
    <t>SOURCE_TYPE</t>
  </si>
  <si>
    <t>HTTP_METHOD</t>
  </si>
  <si>
    <t>LOGICAL_OPERATOR</t>
  </si>
  <si>
    <t>IMPL_STATUS</t>
  </si>
  <si>
    <t>disclosure</t>
  </si>
  <si>
    <t>credit_card</t>
  </si>
  <si>
    <t>all</t>
  </si>
  <si>
    <t>Yes</t>
  </si>
  <si>
    <t>Legal</t>
  </si>
  <si>
    <t>Draft</t>
  </si>
  <si>
    <t>High</t>
  </si>
  <si>
    <t>EQUALS</t>
  </si>
  <si>
    <t>String</t>
  </si>
  <si>
    <t>Positive</t>
  </si>
  <si>
    <t>REST_API</t>
  </si>
  <si>
    <t>GET</t>
  </si>
  <si>
    <t>AND</t>
  </si>
  <si>
    <t>Not Started</t>
  </si>
  <si>
    <t>agreement</t>
  </si>
  <si>
    <t>digital_banking</t>
  </si>
  <si>
    <t>credit_card_account_only</t>
  </si>
  <si>
    <t>No</t>
  </si>
  <si>
    <t>Compliance</t>
  </si>
  <si>
    <t>In Review</t>
  </si>
  <si>
    <t>Medium</t>
  </si>
  <si>
    <t>NOT_EQUALS</t>
  </si>
  <si>
    <t>Number</t>
  </si>
  <si>
    <t>Negative</t>
  </si>
  <si>
    <t>DATABASE</t>
  </si>
  <si>
    <t>POST</t>
  </si>
  <si>
    <t>OR</t>
  </si>
  <si>
    <t>In Progress</t>
  </si>
  <si>
    <t>notice</t>
  </si>
  <si>
    <t>enterprise</t>
  </si>
  <si>
    <t>digital_bank_customer_only</t>
  </si>
  <si>
    <t>Marketing</t>
  </si>
  <si>
    <t>Approved</t>
  </si>
  <si>
    <t>Low</t>
  </si>
  <si>
    <t>GREATER_THAN</t>
  </si>
  <si>
    <t>Boolean</t>
  </si>
  <si>
    <t>Edge Case</t>
  </si>
  <si>
    <t>CACHE</t>
  </si>
  <si>
    <t>PUT</t>
  </si>
  <si>
    <t>Testing</t>
  </si>
  <si>
    <t>statement</t>
  </si>
  <si>
    <t>enterprise_customer_only</t>
  </si>
  <si>
    <t>Product</t>
  </si>
  <si>
    <t>Rejected</t>
  </si>
  <si>
    <t>LESS_THAN</t>
  </si>
  <si>
    <t>Date</t>
  </si>
  <si>
    <t>Error Handling</t>
  </si>
  <si>
    <t>DELETE</t>
  </si>
  <si>
    <t>Live</t>
  </si>
  <si>
    <t>policy</t>
  </si>
  <si>
    <t>savings</t>
  </si>
  <si>
    <t>custom_rule</t>
  </si>
  <si>
    <t>Operations</t>
  </si>
  <si>
    <t>Implemented</t>
  </si>
  <si>
    <t>GREATER_THAN_OR_EQUALS</t>
  </si>
  <si>
    <t>Array</t>
  </si>
  <si>
    <t>Deferred</t>
  </si>
  <si>
    <t>terms_and_conditions</t>
  </si>
  <si>
    <t>checking</t>
  </si>
  <si>
    <t>IT</t>
  </si>
  <si>
    <t>LESS_THAN_OR_EQUALS</t>
  </si>
  <si>
    <t>Object</t>
  </si>
  <si>
    <t>regulatory</t>
  </si>
  <si>
    <t>loan</t>
  </si>
  <si>
    <t>Risk Management</t>
  </si>
  <si>
    <t>Deprecated</t>
  </si>
  <si>
    <t>IN</t>
  </si>
  <si>
    <t>marketing</t>
  </si>
  <si>
    <t>investment</t>
  </si>
  <si>
    <t>Customer Service</t>
  </si>
  <si>
    <t>NOT_IN</t>
  </si>
  <si>
    <t>benefits</t>
  </si>
  <si>
    <t>CONTAINS</t>
  </si>
  <si>
    <t>fees</t>
  </si>
  <si>
    <t>NOT_CONTAINS</t>
  </si>
  <si>
    <t>STARTS_WITH</t>
  </si>
  <si>
    <t>ENDS_WITH</t>
  </si>
  <si>
    <t>IS_NULL</t>
  </si>
  <si>
    <t>IS_NOT_NULL</t>
  </si>
  <si>
    <t>DATE_BEFORE</t>
  </si>
  <si>
    <t>DATE_AFTER</t>
  </si>
  <si>
    <t>MONTH_EQUALS</t>
  </si>
  <si>
    <t>REGEX_MATCH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</si>
</sst>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4"/>
      <name val="Calibri"/>
    </font>
    <font>
      <b/>
      <sz val="12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808080"/>
        <bgColor rgb="FF808080"/>
      </patternFill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472C4"/>
  </sheetPr>
  <dimension ref="A1:F38"/>
  <sheetViews>
    <sheetView topLeftCell="A5" workbookViewId="0">
      <selection sqref="A1:F1"/>
    </sheetView>
  </sheetViews>
  <sheetFormatPr defaultRowHeight="15" x14ac:dyDescent="0.25"/>
  <cols>
    <col min="1" max="1" width="80" customWidth="1"/>
  </cols>
  <sheetData>
    <row r="1" spans="1:6" ht="30" customHeight="1" x14ac:dyDescent="0.25">
      <c r="A1" s="5" t="s">
        <v>0</v>
      </c>
      <c r="B1" s="6"/>
      <c r="C1" s="6"/>
      <c r="D1" s="6"/>
      <c r="E1" s="6"/>
      <c r="F1" s="6"/>
    </row>
    <row r="2" spans="1:6" ht="18.75" x14ac:dyDescent="0.3">
      <c r="A2" s="1" t="s">
        <v>1</v>
      </c>
    </row>
    <row r="4" spans="1:6" ht="15.75" x14ac:dyDescent="0.25">
      <c r="A4" s="2" t="s">
        <v>2</v>
      </c>
    </row>
    <row r="5" spans="1:6" x14ac:dyDescent="0.25">
      <c r="A5" t="s">
        <v>3</v>
      </c>
    </row>
    <row r="6" spans="1:6" x14ac:dyDescent="0.25">
      <c r="A6" t="s">
        <v>4</v>
      </c>
    </row>
    <row r="7" spans="1:6" x14ac:dyDescent="0.25">
      <c r="A7" t="s">
        <v>5</v>
      </c>
    </row>
    <row r="9" spans="1:6" ht="15.75" x14ac:dyDescent="0.25">
      <c r="A9" s="2" t="s">
        <v>6</v>
      </c>
    </row>
    <row r="10" spans="1:6" x14ac:dyDescent="0.25">
      <c r="A10" t="s">
        <v>7</v>
      </c>
    </row>
    <row r="11" spans="1:6" x14ac:dyDescent="0.25">
      <c r="A11" t="s">
        <v>8</v>
      </c>
    </row>
    <row r="12" spans="1:6" x14ac:dyDescent="0.25">
      <c r="A12" t="s">
        <v>9</v>
      </c>
    </row>
    <row r="14" spans="1:6" ht="15.75" x14ac:dyDescent="0.25">
      <c r="A14" s="2" t="s">
        <v>10</v>
      </c>
    </row>
    <row r="15" spans="1:6" x14ac:dyDescent="0.25">
      <c r="A15" t="s">
        <v>11</v>
      </c>
    </row>
    <row r="16" spans="1:6" x14ac:dyDescent="0.25">
      <c r="A16" t="s">
        <v>12</v>
      </c>
    </row>
    <row r="17" spans="1:1" x14ac:dyDescent="0.25">
      <c r="A17" t="s">
        <v>13</v>
      </c>
    </row>
    <row r="18" spans="1:1" x14ac:dyDescent="0.25">
      <c r="A18" t="s">
        <v>14</v>
      </c>
    </row>
    <row r="20" spans="1:1" ht="15.75" x14ac:dyDescent="0.25">
      <c r="A20" s="2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ht="15.75" x14ac:dyDescent="0.25">
      <c r="A25" s="2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30" spans="1:1" ht="15.75" x14ac:dyDescent="0.25">
      <c r="A30" s="2" t="s">
        <v>23</v>
      </c>
    </row>
    <row r="31" spans="1:1" x14ac:dyDescent="0.25">
      <c r="A31" t="s">
        <v>24</v>
      </c>
    </row>
    <row r="32" spans="1:1" x14ac:dyDescent="0.25">
      <c r="A32" t="s">
        <v>25</v>
      </c>
    </row>
    <row r="33" spans="1:1" x14ac:dyDescent="0.25">
      <c r="A33" t="s">
        <v>26</v>
      </c>
    </row>
    <row r="34" spans="1:1" x14ac:dyDescent="0.25">
      <c r="A34" t="s">
        <v>27</v>
      </c>
    </row>
    <row r="36" spans="1:1" ht="15.75" x14ac:dyDescent="0.25">
      <c r="A36" s="2" t="s">
        <v>28</v>
      </c>
    </row>
    <row r="37" spans="1:1" x14ac:dyDescent="0.25">
      <c r="A37" t="s">
        <v>29</v>
      </c>
    </row>
    <row r="38" spans="1:1" x14ac:dyDescent="0.25">
      <c r="A38" t="s">
        <v>30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0AD47"/>
  </sheetPr>
  <dimension ref="A1:M2"/>
  <sheetViews>
    <sheetView workbookViewId="0">
      <pane ySplit="1" topLeftCell="A2" activePane="bottomLeft" state="frozen"/>
      <selection pane="bottomLeft" activeCell="H2" sqref="H2"/>
    </sheetView>
  </sheetViews>
  <sheetFormatPr defaultRowHeight="15" x14ac:dyDescent="0.25"/>
  <cols>
    <col min="1" max="1" width="15" customWidth="1"/>
    <col min="2" max="2" width="40" customWidth="1"/>
    <col min="3" max="3" width="20" customWidth="1"/>
    <col min="4" max="5" width="25" customWidth="1"/>
    <col min="6" max="6" width="12" customWidth="1"/>
    <col min="7" max="7" width="20" customWidth="1"/>
    <col min="8" max="8" width="18" customWidth="1"/>
    <col min="9" max="9" width="12" customWidth="1"/>
    <col min="10" max="10" width="20" customWidth="1"/>
    <col min="11" max="11" width="25" customWidth="1"/>
    <col min="12" max="12" width="15" customWidth="1"/>
    <col min="13" max="13" width="40" customWidth="1"/>
  </cols>
  <sheetData>
    <row r="1" spans="1:13" ht="30" customHeight="1" x14ac:dyDescent="0.25">
      <c r="A1" s="3" t="s">
        <v>31</v>
      </c>
      <c r="B1" s="3" t="s">
        <v>32</v>
      </c>
      <c r="C1" s="3" t="s">
        <v>33</v>
      </c>
      <c r="D1" s="3" t="s">
        <v>34</v>
      </c>
      <c r="E1" s="3" t="s">
        <v>35</v>
      </c>
      <c r="F1" s="3" t="s">
        <v>36</v>
      </c>
      <c r="G1" s="3" t="s">
        <v>37</v>
      </c>
      <c r="H1" s="3" t="s">
        <v>38</v>
      </c>
      <c r="I1" s="3" t="s">
        <v>39</v>
      </c>
      <c r="J1" s="3" t="s">
        <v>40</v>
      </c>
      <c r="K1" s="3" t="s">
        <v>41</v>
      </c>
      <c r="L1" s="3" t="s">
        <v>42</v>
      </c>
      <c r="M1" s="3" t="s">
        <v>43</v>
      </c>
    </row>
    <row r="2" spans="1:13" x14ac:dyDescent="0.25">
      <c r="A2" t="s">
        <v>44</v>
      </c>
      <c r="B2" t="s">
        <v>45</v>
      </c>
      <c r="C2" t="s">
        <v>162</v>
      </c>
      <c r="D2" t="s">
        <v>151</v>
      </c>
      <c r="E2" t="s">
        <v>124</v>
      </c>
      <c r="F2" t="s">
        <v>125</v>
      </c>
      <c r="G2" t="s">
        <v>164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xr:uid="{00000000-0002-0000-0100-000000000000}">
          <x14:formula1>
            <xm:f>LOOKUPS!$A$2:$A$20</xm:f>
          </x14:formula1>
          <xm:sqref>C2:C1000</xm:sqref>
        </x14:dataValidation>
        <x14:dataValidation type="list" xr:uid="{00000000-0002-0000-0100-000001000000}">
          <x14:formula1>
            <xm:f>LOOKUPS!$B$2:$B$20</xm:f>
          </x14:formula1>
          <xm:sqref>D2:D1000</xm:sqref>
        </x14:dataValidation>
        <x14:dataValidation type="list" xr:uid="{00000000-0002-0000-0100-000002000000}">
          <x14:formula1>
            <xm:f>LOOKUPS!$C$2:$C$10</xm:f>
          </x14:formula1>
          <xm:sqref>E2:E1000</xm:sqref>
        </x14:dataValidation>
        <x14:dataValidation type="list" xr:uid="{00000000-0002-0000-0100-000003000000}">
          <x14:formula1>
            <xm:f>LOOKUPS!$D$2:$D$3</xm:f>
          </x14:formula1>
          <xm:sqref>F2:F1000</xm:sqref>
        </x14:dataValidation>
        <x14:dataValidation type="list" xr:uid="{00000000-0002-0000-0100-000004000000}">
          <x14:formula1>
            <xm:f>LOOKUPS!$E$2:$E$20</xm:f>
          </x14:formula1>
          <xm:sqref>G2:G1000</xm:sqref>
        </x14:dataValidation>
        <x14:dataValidation type="list" xr:uid="{00000000-0002-0000-0100-000005000000}">
          <x14:formula1>
            <xm:f>LOOKUPS!$F$2:$F$10</xm:f>
          </x14:formula1>
          <xm:sqref>H2:H1000</xm:sqref>
        </x14:dataValidation>
        <x14:dataValidation type="list" xr:uid="{00000000-0002-0000-0100-000006000000}">
          <x14:formula1>
            <xm:f>LOOKUPS!$G$2:$G$4</xm:f>
          </x14:formula1>
          <xm:sqref>I2:I1000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Z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5" customWidth="1"/>
    <col min="2" max="2" width="40" customWidth="1"/>
    <col min="3" max="4" width="20" customWidth="1"/>
    <col min="5" max="5" width="60" customWidth="1"/>
    <col min="6" max="6" width="12" customWidth="1"/>
    <col min="7" max="7" width="30" customWidth="1"/>
    <col min="8" max="9" width="15" customWidth="1"/>
    <col min="10" max="10" width="20" customWidth="1"/>
    <col min="11" max="11" width="25" customWidth="1"/>
    <col min="12" max="12" width="80" customWidth="1"/>
    <col min="13" max="13" width="40" customWidth="1"/>
    <col min="14" max="14" width="15" customWidth="1"/>
    <col min="15" max="15" width="10" customWidth="1"/>
    <col min="16" max="16" width="20" customWidth="1"/>
    <col min="17" max="17" width="40" customWidth="1"/>
    <col min="18" max="18" width="15" customWidth="1"/>
    <col min="19" max="19" width="10" customWidth="1"/>
    <col min="20" max="20" width="25" customWidth="1"/>
    <col min="21" max="21" width="15" customWidth="1"/>
    <col min="22" max="22" width="25" customWidth="1"/>
    <col min="23" max="24" width="15" customWidth="1"/>
    <col min="25" max="25" width="20" customWidth="1"/>
    <col min="26" max="26" width="60" customWidth="1"/>
  </cols>
  <sheetData>
    <row r="1" spans="1:26" ht="30" customHeight="1" x14ac:dyDescent="0.25">
      <c r="A1" s="3" t="s">
        <v>31</v>
      </c>
      <c r="B1" s="3" t="s">
        <v>32</v>
      </c>
      <c r="C1" s="3" t="s">
        <v>46</v>
      </c>
      <c r="D1" s="3" t="s">
        <v>47</v>
      </c>
      <c r="E1" s="3" t="s">
        <v>48</v>
      </c>
      <c r="F1" s="3" t="s">
        <v>49</v>
      </c>
      <c r="G1" s="3" t="s">
        <v>50</v>
      </c>
      <c r="H1" s="3" t="s">
        <v>51</v>
      </c>
      <c r="I1" s="3" t="s">
        <v>52</v>
      </c>
      <c r="J1" s="3" t="s">
        <v>53</v>
      </c>
      <c r="K1" s="3" t="s">
        <v>54</v>
      </c>
      <c r="L1" s="3" t="s">
        <v>55</v>
      </c>
      <c r="M1" s="3" t="s">
        <v>56</v>
      </c>
      <c r="N1" s="3" t="s">
        <v>57</v>
      </c>
      <c r="O1" s="3" t="s">
        <v>58</v>
      </c>
      <c r="P1" s="3" t="s">
        <v>59</v>
      </c>
      <c r="Q1" s="3" t="s">
        <v>60</v>
      </c>
      <c r="R1" s="3" t="s">
        <v>61</v>
      </c>
      <c r="S1" s="3" t="s">
        <v>62</v>
      </c>
      <c r="T1" s="3" t="s">
        <v>63</v>
      </c>
      <c r="U1" s="3" t="s">
        <v>64</v>
      </c>
      <c r="V1" s="3" t="s">
        <v>65</v>
      </c>
      <c r="W1" s="3" t="s">
        <v>66</v>
      </c>
      <c r="X1" s="3" t="s">
        <v>67</v>
      </c>
      <c r="Y1" s="3" t="s">
        <v>68</v>
      </c>
      <c r="Z1" s="3" t="s">
        <v>43</v>
      </c>
    </row>
    <row r="2" spans="1:26" x14ac:dyDescent="0.25">
      <c r="B2" t="str">
        <f>IFERROR(VLOOKUP(A2,DOCUMENT_LIST!$A:$B,2,FALSE),"")</f>
        <v/>
      </c>
      <c r="O2" t="str">
        <f>IF(N2="","",N2)</f>
        <v/>
      </c>
      <c r="X2">
        <f ca="1">TODAY()</f>
        <v>45975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D7D31"/>
  </sheetPr>
  <dimension ref="A1:P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5" customWidth="1"/>
    <col min="3" max="3" width="40" customWidth="1"/>
    <col min="4" max="4" width="10" customWidth="1"/>
    <col min="5" max="5" width="60" customWidth="1"/>
    <col min="6" max="8" width="25" customWidth="1"/>
    <col min="9" max="9" width="30" customWidth="1"/>
    <col min="10" max="11" width="15" customWidth="1"/>
    <col min="12" max="12" width="12" customWidth="1"/>
    <col min="13" max="13" width="50" customWidth="1"/>
    <col min="14" max="15" width="40" customWidth="1"/>
    <col min="16" max="16" width="60" customWidth="1"/>
  </cols>
  <sheetData>
    <row r="1" spans="1:16" ht="30" customHeight="1" x14ac:dyDescent="0.25">
      <c r="A1" s="3" t="s">
        <v>69</v>
      </c>
      <c r="B1" s="3" t="s">
        <v>31</v>
      </c>
      <c r="C1" s="3" t="s">
        <v>32</v>
      </c>
      <c r="D1" s="3" t="s">
        <v>70</v>
      </c>
      <c r="E1" s="3" t="s">
        <v>71</v>
      </c>
      <c r="F1" s="3" t="s">
        <v>72</v>
      </c>
      <c r="G1" s="3" t="s">
        <v>73</v>
      </c>
      <c r="H1" s="3" t="s">
        <v>74</v>
      </c>
      <c r="I1" s="3" t="s">
        <v>75</v>
      </c>
      <c r="J1" s="3" t="s">
        <v>76</v>
      </c>
      <c r="K1" s="3" t="s">
        <v>77</v>
      </c>
      <c r="L1" s="3" t="s">
        <v>78</v>
      </c>
      <c r="M1" s="3" t="s">
        <v>79</v>
      </c>
      <c r="N1" s="3" t="s">
        <v>80</v>
      </c>
      <c r="O1" s="3" t="s">
        <v>81</v>
      </c>
      <c r="P1" s="3" t="s">
        <v>43</v>
      </c>
    </row>
    <row r="2" spans="1:16" x14ac:dyDescent="0.25">
      <c r="C2" t="str">
        <f>IFERROR(VLOOKUP(B2,DOCUMENT_LIST!$A:$B,2,FALSE),"")</f>
        <v/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300-000000000000}">
          <x14:formula1>
            <xm:f>LOOKUPS!$H$2:$H$25</xm:f>
          </x14:formula1>
          <xm:sqref>H2:H1000</xm:sqref>
        </x14:dataValidation>
        <x14:dataValidation type="list" xr:uid="{00000000-0002-0000-0300-000001000000}">
          <x14:formula1>
            <xm:f>LOOKUPS!$I$2:$I$10</xm:f>
          </x14:formula1>
          <xm:sqref>J2:J1000</xm:sqref>
        </x14:dataValidation>
        <x14:dataValidation type="list" xr:uid="{00000000-0002-0000-0300-000002000000}">
          <x14:formula1>
            <xm:f>LOOKUPS!$M$2:$M$3</xm:f>
          </x14:formula1>
          <xm:sqref>K2:K1000</xm:sqref>
        </x14:dataValidation>
        <x14:dataValidation type="list" xr:uid="{00000000-0002-0000-0300-000003000000}">
          <x14:formula1>
            <xm:f>LOOKUPS!$D$2:$D$3</xm:f>
          </x14:formula1>
          <xm:sqref>L2:L1000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</sheetPr>
  <dimension ref="A1:Q1"/>
  <sheetViews>
    <sheetView tabSelected="1"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20" customWidth="1"/>
    <col min="2" max="2" width="30" customWidth="1"/>
    <col min="3" max="3" width="20" customWidth="1"/>
    <col min="4" max="4" width="80" customWidth="1"/>
    <col min="5" max="5" width="15" customWidth="1"/>
    <col min="6" max="6" width="60" customWidth="1"/>
    <col min="7" max="8" width="15" customWidth="1"/>
    <col min="9" max="9" width="25" customWidth="1"/>
    <col min="10" max="10" width="40" customWidth="1"/>
    <col min="11" max="14" width="15" customWidth="1"/>
    <col min="15" max="15" width="25" customWidth="1"/>
    <col min="16" max="17" width="60" customWidth="1"/>
  </cols>
  <sheetData>
    <row r="1" spans="1:17" ht="30" customHeight="1" x14ac:dyDescent="0.25">
      <c r="A1" s="3" t="s">
        <v>82</v>
      </c>
      <c r="B1" s="3" t="s">
        <v>83</v>
      </c>
      <c r="C1" s="3" t="s">
        <v>84</v>
      </c>
      <c r="D1" s="3" t="s">
        <v>85</v>
      </c>
      <c r="E1" s="3" t="s">
        <v>86</v>
      </c>
      <c r="F1" s="3" t="s">
        <v>87</v>
      </c>
      <c r="G1" s="3" t="s">
        <v>88</v>
      </c>
      <c r="H1" s="3" t="s">
        <v>89</v>
      </c>
      <c r="I1" s="3" t="s">
        <v>72</v>
      </c>
      <c r="J1" s="3" t="s">
        <v>90</v>
      </c>
      <c r="K1" s="3" t="s">
        <v>91</v>
      </c>
      <c r="L1" s="3" t="s">
        <v>92</v>
      </c>
      <c r="M1" s="3" t="s">
        <v>93</v>
      </c>
      <c r="N1" s="3" t="s">
        <v>94</v>
      </c>
      <c r="O1" s="3" t="s">
        <v>95</v>
      </c>
      <c r="P1" s="3" t="s">
        <v>96</v>
      </c>
      <c r="Q1" s="3" t="s">
        <v>43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400-000000000000}">
          <x14:formula1>
            <xm:f>LOOKUPS!$K$2:$K$4</xm:f>
          </x14:formula1>
          <xm:sqref>C2:C1000</xm:sqref>
        </x14:dataValidation>
        <x14:dataValidation type="list" xr:uid="{00000000-0002-0000-0400-000001000000}">
          <x14:formula1>
            <xm:f>LOOKUPS!$L$2:$L$5</xm:f>
          </x14:formula1>
          <xm:sqref>E2:E1000</xm:sqref>
        </x14:dataValidation>
        <x14:dataValidation type="list" xr:uid="{00000000-0002-0000-0400-000002000000}">
          <x14:formula1>
            <xm:f>LOOKUPS!$I$2:$I$10</xm:f>
          </x14:formula1>
          <xm:sqref>K2:K1000</xm:sqref>
        </x14:dataValidation>
        <x14:dataValidation type="list" xr:uid="{00000000-0002-0000-0400-000003000000}">
          <x14:formula1>
            <xm:f>LOOKUPS!$D$2:$D$3</xm:f>
          </x14:formula1>
          <xm:sqref>L2:L1000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</sheetPr>
  <dimension ref="A1:N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5" customWidth="1"/>
    <col min="3" max="3" width="40" customWidth="1"/>
    <col min="4" max="4" width="20" customWidth="1"/>
    <col min="5" max="5" width="50" customWidth="1"/>
    <col min="6" max="6" width="100" customWidth="1"/>
    <col min="7" max="7" width="20" customWidth="1"/>
    <col min="8" max="8" width="80" customWidth="1"/>
    <col min="9" max="9" width="100" customWidth="1"/>
    <col min="10" max="10" width="12" customWidth="1"/>
    <col min="11" max="12" width="15" customWidth="1"/>
    <col min="13" max="13" width="25" customWidth="1"/>
    <col min="14" max="14" width="60" customWidth="1"/>
  </cols>
  <sheetData>
    <row r="1" spans="1:14" ht="30" customHeight="1" x14ac:dyDescent="0.25">
      <c r="A1" s="3" t="s">
        <v>97</v>
      </c>
      <c r="B1" s="3" t="s">
        <v>31</v>
      </c>
      <c r="C1" s="3" t="s">
        <v>32</v>
      </c>
      <c r="D1" s="3" t="s">
        <v>98</v>
      </c>
      <c r="E1" s="3" t="s">
        <v>99</v>
      </c>
      <c r="F1" s="3" t="s">
        <v>100</v>
      </c>
      <c r="G1" s="3" t="s">
        <v>101</v>
      </c>
      <c r="H1" s="3" t="s">
        <v>102</v>
      </c>
      <c r="I1" s="3" t="s">
        <v>103</v>
      </c>
      <c r="J1" s="3" t="s">
        <v>104</v>
      </c>
      <c r="K1" s="3" t="s">
        <v>105</v>
      </c>
      <c r="L1" s="3" t="s">
        <v>106</v>
      </c>
      <c r="M1" s="3" t="s">
        <v>107</v>
      </c>
      <c r="N1" s="3" t="s">
        <v>43</v>
      </c>
    </row>
    <row r="2" spans="1:14" x14ac:dyDescent="0.25">
      <c r="C2" t="str">
        <f>IFERROR(VLOOKUP(B2,DOCUMENT_LIST!$A:$B,2,FALSE),"")</f>
        <v/>
      </c>
    </row>
  </sheetData>
  <dataValidations count="2">
    <dataValidation type="list" sqref="G2:G1000" xr:uid="{00000000-0002-0000-0500-000001000000}">
      <formula1>"SHOW,DO NOT SHOW"</formula1>
    </dataValidation>
    <dataValidation type="list" allowBlank="1" sqref="L2:L1000" xr:uid="{00000000-0002-0000-0500-000003000000}">
      <formula1>"Pass,Fail,Blocked"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500-000000000000}">
          <x14:formula1>
            <xm:f>LOOKUPS!$J$2:$J$5</xm:f>
          </x14:formula1>
          <xm:sqref>D2:D1000</xm:sqref>
        </x14:dataValidation>
        <x14:dataValidation type="list" allowBlank="1" xr:uid="{00000000-0002-0000-0500-000002000000}">
          <x14:formula1>
            <xm:f>LOOKUPS!$D$2:$D$3</xm:f>
          </x14:formula1>
          <xm:sqref>J2:J1000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4" width="30" customWidth="1"/>
  </cols>
  <sheetData>
    <row r="1" spans="1:14" x14ac:dyDescent="0.25">
      <c r="A1" s="4" t="s">
        <v>108</v>
      </c>
      <c r="B1" s="4" t="s">
        <v>109</v>
      </c>
      <c r="C1" s="4" t="s">
        <v>110</v>
      </c>
      <c r="D1" s="4" t="s">
        <v>111</v>
      </c>
      <c r="E1" s="4" t="s">
        <v>112</v>
      </c>
      <c r="F1" s="4" t="s">
        <v>113</v>
      </c>
      <c r="G1" s="4" t="s">
        <v>114</v>
      </c>
      <c r="H1" s="4" t="s">
        <v>115</v>
      </c>
      <c r="I1" s="4" t="s">
        <v>116</v>
      </c>
      <c r="J1" s="4" t="s">
        <v>117</v>
      </c>
      <c r="K1" s="4" t="s">
        <v>118</v>
      </c>
      <c r="L1" s="4" t="s">
        <v>119</v>
      </c>
      <c r="M1" s="4" t="s">
        <v>120</v>
      </c>
      <c r="N1" s="4" t="s">
        <v>121</v>
      </c>
    </row>
    <row r="2" spans="1:14" x14ac:dyDescent="0.25">
      <c r="A2" t="s">
        <v>122</v>
      </c>
      <c r="B2" t="s">
        <v>123</v>
      </c>
      <c r="C2" t="s">
        <v>124</v>
      </c>
      <c r="D2" t="s">
        <v>125</v>
      </c>
      <c r="E2" t="s">
        <v>126</v>
      </c>
      <c r="F2" t="s">
        <v>127</v>
      </c>
      <c r="G2" t="s">
        <v>128</v>
      </c>
      <c r="H2" t="s">
        <v>129</v>
      </c>
      <c r="I2" t="s">
        <v>130</v>
      </c>
      <c r="J2" t="s">
        <v>131</v>
      </c>
      <c r="K2" t="s">
        <v>132</v>
      </c>
      <c r="L2" t="s">
        <v>133</v>
      </c>
      <c r="M2" t="s">
        <v>134</v>
      </c>
      <c r="N2" t="s">
        <v>135</v>
      </c>
    </row>
    <row r="3" spans="1:14" x14ac:dyDescent="0.25">
      <c r="A3" t="s">
        <v>136</v>
      </c>
      <c r="B3" t="s">
        <v>137</v>
      </c>
      <c r="C3" t="s">
        <v>138</v>
      </c>
      <c r="D3" t="s">
        <v>139</v>
      </c>
      <c r="E3" t="s">
        <v>140</v>
      </c>
      <c r="F3" t="s">
        <v>141</v>
      </c>
      <c r="G3" t="s">
        <v>142</v>
      </c>
      <c r="H3" t="s">
        <v>143</v>
      </c>
      <c r="I3" t="s">
        <v>144</v>
      </c>
      <c r="J3" t="s">
        <v>145</v>
      </c>
      <c r="K3" t="s">
        <v>146</v>
      </c>
      <c r="L3" t="s">
        <v>147</v>
      </c>
      <c r="M3" t="s">
        <v>148</v>
      </c>
      <c r="N3" t="s">
        <v>149</v>
      </c>
    </row>
    <row r="4" spans="1:14" x14ac:dyDescent="0.25">
      <c r="A4" t="s">
        <v>150</v>
      </c>
      <c r="B4" t="s">
        <v>151</v>
      </c>
      <c r="C4" t="s">
        <v>152</v>
      </c>
      <c r="E4" t="s">
        <v>153</v>
      </c>
      <c r="F4" t="s">
        <v>154</v>
      </c>
      <c r="G4" t="s">
        <v>155</v>
      </c>
      <c r="H4" t="s">
        <v>156</v>
      </c>
      <c r="I4" t="s">
        <v>157</v>
      </c>
      <c r="J4" t="s">
        <v>158</v>
      </c>
      <c r="K4" t="s">
        <v>159</v>
      </c>
      <c r="L4" t="s">
        <v>160</v>
      </c>
      <c r="N4" t="s">
        <v>161</v>
      </c>
    </row>
    <row r="5" spans="1:14" x14ac:dyDescent="0.25">
      <c r="A5" t="s">
        <v>162</v>
      </c>
      <c r="B5" t="s">
        <v>124</v>
      </c>
      <c r="C5" t="s">
        <v>163</v>
      </c>
      <c r="E5" t="s">
        <v>164</v>
      </c>
      <c r="F5" t="s">
        <v>165</v>
      </c>
      <c r="H5" t="s">
        <v>166</v>
      </c>
      <c r="I5" t="s">
        <v>167</v>
      </c>
      <c r="J5" t="s">
        <v>168</v>
      </c>
      <c r="L5" t="s">
        <v>169</v>
      </c>
      <c r="N5" t="s">
        <v>170</v>
      </c>
    </row>
    <row r="6" spans="1:14" x14ac:dyDescent="0.25">
      <c r="A6" t="s">
        <v>171</v>
      </c>
      <c r="B6" t="s">
        <v>172</v>
      </c>
      <c r="C6" t="s">
        <v>173</v>
      </c>
      <c r="E6" t="s">
        <v>174</v>
      </c>
      <c r="F6" t="s">
        <v>175</v>
      </c>
      <c r="H6" t="s">
        <v>176</v>
      </c>
      <c r="I6" t="s">
        <v>177</v>
      </c>
      <c r="N6" t="s">
        <v>178</v>
      </c>
    </row>
    <row r="7" spans="1:14" x14ac:dyDescent="0.25">
      <c r="A7" t="s">
        <v>179</v>
      </c>
      <c r="B7" t="s">
        <v>180</v>
      </c>
      <c r="E7" t="s">
        <v>181</v>
      </c>
      <c r="F7" t="s">
        <v>170</v>
      </c>
      <c r="H7" t="s">
        <v>182</v>
      </c>
      <c r="I7" t="s">
        <v>183</v>
      </c>
    </row>
    <row r="8" spans="1:14" x14ac:dyDescent="0.25">
      <c r="A8" t="s">
        <v>184</v>
      </c>
      <c r="B8" t="s">
        <v>185</v>
      </c>
      <c r="E8" t="s">
        <v>186</v>
      </c>
      <c r="F8" t="s">
        <v>187</v>
      </c>
      <c r="H8" t="s">
        <v>188</v>
      </c>
    </row>
    <row r="9" spans="1:14" x14ac:dyDescent="0.25">
      <c r="A9" t="s">
        <v>189</v>
      </c>
      <c r="B9" t="s">
        <v>190</v>
      </c>
      <c r="E9" t="s">
        <v>191</v>
      </c>
      <c r="H9" t="s">
        <v>192</v>
      </c>
    </row>
    <row r="10" spans="1:14" x14ac:dyDescent="0.25">
      <c r="A10" t="s">
        <v>193</v>
      </c>
      <c r="H10" t="s">
        <v>194</v>
      </c>
    </row>
    <row r="11" spans="1:14" x14ac:dyDescent="0.25">
      <c r="A11" t="s">
        <v>195</v>
      </c>
      <c r="H11" t="s">
        <v>196</v>
      </c>
    </row>
    <row r="12" spans="1:14" x14ac:dyDescent="0.25">
      <c r="H12" t="s">
        <v>197</v>
      </c>
    </row>
    <row r="13" spans="1:14" x14ac:dyDescent="0.25">
      <c r="H13" t="s">
        <v>198</v>
      </c>
    </row>
    <row r="14" spans="1:14" x14ac:dyDescent="0.25">
      <c r="H14" t="s">
        <v>199</v>
      </c>
    </row>
    <row r="15" spans="1:14" x14ac:dyDescent="0.25">
      <c r="H15" t="s">
        <v>200</v>
      </c>
    </row>
    <row r="16" spans="1:14" x14ac:dyDescent="0.25">
      <c r="H16" t="s">
        <v>201</v>
      </c>
    </row>
    <row r="17" spans="8:8" x14ac:dyDescent="0.25">
      <c r="H17" t="s">
        <v>202</v>
      </c>
    </row>
    <row r="18" spans="8:8" x14ac:dyDescent="0.25">
      <c r="H18" t="s">
        <v>203</v>
      </c>
    </row>
    <row r="19" spans="8:8" x14ac:dyDescent="0.25">
      <c r="H19" t="s">
        <v>204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DOCUMENT_LIST</vt:lpstr>
      <vt:lpstr>DOCUMENT_DETAILS</vt:lpstr>
      <vt:lpstr>ELIGIBILITY_CONDITIONS</vt:lpstr>
      <vt:lpstr>DATA_SOURCES</vt:lpstr>
      <vt:lpstr>TEST_SCENARIOS</vt:lpstr>
      <vt:lpstr>LOOKUPS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Taher Ghulam Mohammed</cp:lastModifiedBy>
  <dcterms:created xsi:type="dcterms:W3CDTF">2025-11-10T06:11:37Z</dcterms:created>
  <dcterms:modified xsi:type="dcterms:W3CDTF">2025-11-18T01:12:50Z</dcterms:modified>
</cp:coreProperties>
</file>